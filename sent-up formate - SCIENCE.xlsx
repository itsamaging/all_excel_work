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903E8151-8660-475A-B0A6-7C06338458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IENCE" sheetId="1" r:id="rId1"/>
  </sheets>
  <definedNames>
    <definedName name="_xlnm.Print_Titles" localSheetId="0">SCIENCE!$1:$7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37" i="1" l="1"/>
  <c r="Y37" i="1"/>
  <c r="T37" i="1"/>
  <c r="P37" i="1"/>
  <c r="L37" i="1"/>
  <c r="U37" i="1" s="1"/>
  <c r="AC36" i="1"/>
  <c r="U36" i="1"/>
  <c r="T36" i="1"/>
  <c r="P36" i="1"/>
  <c r="L36" i="1"/>
  <c r="AC35" i="1"/>
  <c r="Y35" i="1"/>
  <c r="T35" i="1"/>
  <c r="P35" i="1"/>
  <c r="L35" i="1"/>
  <c r="U35" i="1" s="1"/>
  <c r="AC34" i="1"/>
  <c r="Y34" i="1"/>
  <c r="T34" i="1"/>
  <c r="P34" i="1"/>
  <c r="L34" i="1"/>
  <c r="U34" i="1" s="1"/>
  <c r="AC33" i="1"/>
  <c r="T33" i="1"/>
  <c r="P33" i="1"/>
  <c r="L33" i="1"/>
  <c r="U33" i="1" s="1"/>
  <c r="AC32" i="1"/>
  <c r="T32" i="1"/>
  <c r="P32" i="1"/>
  <c r="L32" i="1"/>
  <c r="U32" i="1" s="1"/>
  <c r="L27" i="1"/>
  <c r="P27" i="1"/>
  <c r="T27" i="1"/>
  <c r="U27" i="1"/>
  <c r="Y27" i="1"/>
  <c r="AC27" i="1"/>
  <c r="L28" i="1"/>
  <c r="P28" i="1"/>
  <c r="T28" i="1"/>
  <c r="AC28" i="1"/>
  <c r="L29" i="1"/>
  <c r="P29" i="1"/>
  <c r="T29" i="1"/>
  <c r="AC29" i="1"/>
  <c r="L30" i="1"/>
  <c r="P30" i="1"/>
  <c r="T30" i="1"/>
  <c r="Y30" i="1"/>
  <c r="AC30" i="1"/>
  <c r="L31" i="1"/>
  <c r="P31" i="1"/>
  <c r="T31" i="1"/>
  <c r="AC31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9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9" i="1"/>
  <c r="U30" i="1" l="1"/>
  <c r="U29" i="1"/>
  <c r="U28" i="1"/>
  <c r="U31" i="1"/>
  <c r="Y16" i="1"/>
  <c r="Y17" i="1"/>
  <c r="Y19" i="1"/>
  <c r="Y22" i="1"/>
  <c r="Y24" i="1"/>
  <c r="T10" i="1" l="1"/>
  <c r="U10" i="1" s="1"/>
  <c r="T11" i="1"/>
  <c r="U11" i="1" s="1"/>
  <c r="T12" i="1"/>
  <c r="U12" i="1" s="1"/>
  <c r="T13" i="1"/>
  <c r="U13" i="1" s="1"/>
  <c r="T14" i="1"/>
  <c r="U14" i="1" s="1"/>
  <c r="T15" i="1"/>
  <c r="U15" i="1" s="1"/>
  <c r="T16" i="1"/>
  <c r="U16" i="1" s="1"/>
  <c r="T17" i="1"/>
  <c r="U17" i="1" s="1"/>
  <c r="T18" i="1"/>
  <c r="U18" i="1" s="1"/>
  <c r="T19" i="1"/>
  <c r="U19" i="1" s="1"/>
  <c r="T20" i="1"/>
  <c r="U20" i="1" s="1"/>
  <c r="T21" i="1"/>
  <c r="U21" i="1" s="1"/>
  <c r="T22" i="1"/>
  <c r="U22" i="1" s="1"/>
  <c r="T23" i="1"/>
  <c r="U23" i="1" s="1"/>
  <c r="T24" i="1"/>
  <c r="U24" i="1" s="1"/>
  <c r="T25" i="1"/>
  <c r="U25" i="1" s="1"/>
  <c r="T26" i="1"/>
  <c r="U26" i="1" s="1"/>
  <c r="T9" i="1"/>
  <c r="U9" i="1" s="1"/>
</calcChain>
</file>

<file path=xl/sharedStrings.xml><?xml version="1.0" encoding="utf-8"?>
<sst xmlns="http://schemas.openxmlformats.org/spreadsheetml/2006/main" count="312" uniqueCount="62">
  <si>
    <t>M/F</t>
  </si>
  <si>
    <t>Marks</t>
  </si>
  <si>
    <t>Subject-1</t>
  </si>
  <si>
    <t>Subject-2</t>
  </si>
  <si>
    <t>Compulsory Language subjects</t>
  </si>
  <si>
    <t>Elective Subjects</t>
  </si>
  <si>
    <t>Marks Obtained</t>
  </si>
  <si>
    <t>SL No.</t>
  </si>
  <si>
    <t>Registration No.</t>
  </si>
  <si>
    <t>Subject-3</t>
  </si>
  <si>
    <t>Theory</t>
  </si>
  <si>
    <t>Practical</t>
  </si>
  <si>
    <t>Total</t>
  </si>
  <si>
    <t>Aggregate &amp; Result</t>
  </si>
  <si>
    <t>Additional Subjects</t>
  </si>
  <si>
    <t>HND</t>
  </si>
  <si>
    <t>ENG</t>
  </si>
  <si>
    <t>PHY</t>
  </si>
  <si>
    <t>CHE</t>
  </si>
  <si>
    <t>MAT</t>
  </si>
  <si>
    <t>-</t>
  </si>
  <si>
    <t>SCIENCE</t>
  </si>
  <si>
    <t>M</t>
  </si>
  <si>
    <t>F</t>
  </si>
  <si>
    <t>BIO</t>
  </si>
  <si>
    <t>Add. Sub</t>
  </si>
  <si>
    <t>Vocational Subjects</t>
  </si>
  <si>
    <t>Student's Name
Mother's Name
Father's Name</t>
  </si>
  <si>
    <t>Result</t>
  </si>
  <si>
    <t>Vocational Sub</t>
  </si>
  <si>
    <t>Pass</t>
  </si>
  <si>
    <t>+2 विद्यालय / महाविद्यालय प्रधान का
      हस्ताक्षर एवं मुहर</t>
  </si>
  <si>
    <t>MANOJ KUMAR
MUSAFIR MUKHIYA
DHARMSHILADEVI</t>
  </si>
  <si>
    <t>MD AIYAJ
SHAHADBAN ANSARI
HALIMA KHATOON</t>
  </si>
  <si>
    <t>MD AZAD ALAM
MD SHAKIL ALAM ANSARI
HASINA KHATOON</t>
  </si>
  <si>
    <t>MD FAIYAZ ALAM
AFTAB ALAM
NOORI KHATOON</t>
  </si>
  <si>
    <t>MD IRSHAD ANSARI
MD NESAR ANSARI
RAUSHAN TARA</t>
  </si>
  <si>
    <t>MD NAWAB AKHTAR
NAZIR HUSSAIN ANSARI
NAZMA KHATOON</t>
  </si>
  <si>
    <t>MD SAHABUDDIN ANSARI
BHOLA ANSARI
SAKHINA KHATOON</t>
  </si>
  <si>
    <t>MD SHAHBAJ ALAM
SHAUKAT ALI
SHAYRA KHATOON</t>
  </si>
  <si>
    <t>MICHU KUMARI
RAJDEV RAY
MANJU DEVI</t>
  </si>
  <si>
    <t>MITHLESH KUMAR
NAVALKISHOR PRASAD KUSHWAHA
DEVANTI DEVI</t>
  </si>
  <si>
    <t>MUNCHUN KUMAR
AJAY SINGH
RIBHA DEVI</t>
  </si>
  <si>
    <t>MUNNA KUMAR
RAJENDRA RAM
NIRMALA DEVI</t>
  </si>
  <si>
    <t>MUNNI KUMARI
NAGINA PASWAN
SUNAINA DEVI</t>
  </si>
  <si>
    <t>MURTI KUMARI
RAVINDRA SHARMA
PRATIMA DEVI</t>
  </si>
  <si>
    <t>MUSKAN KHATOON
SARFUDDIN ANSARI
JULEKHA KHATOON</t>
  </si>
  <si>
    <t>MUSKAN KUMARI
DHRUPDEV TIWARI
MANJU DEVI</t>
  </si>
  <si>
    <t>MUSKAN KUMARI
RAJESHWAR SINGH
PUNAM DEVI</t>
  </si>
  <si>
    <t>MUSKAN KUMARI
SAMPURNA NAND TIWARI
SINDHU DEVI</t>
  </si>
  <si>
    <t>MUSKAN KUMARI
YOGENDRA BHAGAT
SHEELA DEVI</t>
  </si>
  <si>
    <t>NAGMA KHATOON
MD MAINUDDIN
RASDA KHATOON</t>
  </si>
  <si>
    <t>NAJMEEN KHATOON
ABDUL SAMAD
NESHA KHATOON</t>
  </si>
  <si>
    <t>NANDANI KUMARI
BHULAN RAM
SHAIL DEVI</t>
  </si>
  <si>
    <t>NASHRINA KHATOON
MOHAMMAD ABBAS
LAILA KHATOON</t>
  </si>
  <si>
    <t>NEHA KUMARI
AVADHESH SHARMA
SUNITA DEVI</t>
  </si>
  <si>
    <t>NEHA KUMARI
UPENDRA KUMAR
RAMPARBHA KUSHWAHA</t>
  </si>
  <si>
    <t>NIDHI KUMARI
BHAGVAN SINGH
INDU DEVI</t>
  </si>
  <si>
    <t>NILAM KUMARI
SURESH PASWAN
RAMPRABHA DEVI</t>
  </si>
  <si>
    <t>NINDA KUMARI
DHANAEE RAM
CHAMPA DEVI</t>
  </si>
  <si>
    <t>NIRAJ KUMAR
ASHOK TIWARI
SANGEETA DEVI</t>
  </si>
  <si>
    <r>
      <rPr>
        <b/>
        <sz val="14"/>
        <color rgb="FF333333"/>
        <rFont val="Arial"/>
        <family val="2"/>
      </rPr>
      <t xml:space="preserve">                                इंटरमीडिएट वार्षिक परीक्षा, 2025 मे सम्मिलित होने वाले नियमित, स्वतंत्र एवं क्वालीफाइंग कोटि के
                                               परीक्षार्थियों के उत्प्रेषण(Sent-up) / जाँच परीक्षा, 2024 का प्राप्तांक पंजी:-</t>
    </r>
    <r>
      <rPr>
        <sz val="11"/>
        <color rgb="FF333333"/>
        <rFont val="Arial"/>
        <family val="2"/>
      </rPr>
      <t xml:space="preserve">
</t>
    </r>
    <r>
      <rPr>
        <b/>
        <sz val="12"/>
        <color rgb="FF333333"/>
        <rFont val="Arial"/>
        <family val="2"/>
      </rPr>
      <t xml:space="preserve">+2 School / College code:- 
+2 School / College Name:- </t>
    </r>
    <r>
      <rPr>
        <sz val="12"/>
        <color rgb="FF333333"/>
        <rFont val="Arial"/>
        <family val="2"/>
      </rPr>
      <t xml:space="preserve">                                                                                                                                </t>
    </r>
    <r>
      <rPr>
        <b/>
        <sz val="12"/>
        <color rgb="FF333333"/>
        <rFont val="Arial"/>
        <family val="2"/>
      </rPr>
      <t>Subjects-Science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</si>
</sst>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b/>
      <sz val="12"/>
      <color rgb="FF333333"/>
      <name val="Arial"/>
      <family val="2"/>
    </font>
    <font>
      <sz val="10"/>
      <color rgb="FF333333"/>
      <name val="Arial"/>
      <family val="2"/>
    </font>
    <font>
      <sz val="10"/>
      <color theme="1"/>
      <name val="Arial"/>
      <family val="2"/>
    </font>
    <font>
      <sz val="8"/>
      <color rgb="FF333333"/>
      <name val="Arial"/>
      <family val="2"/>
    </font>
    <font>
      <sz val="9"/>
      <color rgb="FF333333"/>
      <name val="Arial"/>
      <family val="2"/>
    </font>
    <font>
      <sz val="12"/>
      <color rgb="FF333333"/>
      <name val="Arial"/>
      <family val="2"/>
    </font>
    <font>
      <b/>
      <sz val="16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rgb="FF333333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4"/>
  <sheetViews>
    <sheetView tabSelected="1" workbookViewId="0">
      <selection activeCell="AF9" sqref="AF9"/>
    </sheetView>
  </sheetViews>
  <sheetFormatPr defaultRowHeight="14.4" x14ac:dyDescent="0.3"/>
  <cols>
    <col min="1" max="1" width="3.88671875" customWidth="1"/>
    <col min="2" max="2" width="14.77734375" customWidth="1"/>
    <col min="3" max="3" width="23.88671875" customWidth="1"/>
    <col min="4" max="4" width="4.109375" bestFit="1" customWidth="1"/>
    <col min="5" max="5" width="4.5546875" bestFit="1" customWidth="1"/>
    <col min="6" max="6" width="3.33203125" bestFit="1" customWidth="1"/>
    <col min="7" max="7" width="4.33203125" bestFit="1" customWidth="1"/>
    <col min="8" max="8" width="3.33203125" bestFit="1" customWidth="1"/>
    <col min="9" max="9" width="4.109375" bestFit="1" customWidth="1"/>
    <col min="10" max="12" width="3.33203125" customWidth="1"/>
    <col min="13" max="13" width="4.109375" bestFit="1" customWidth="1"/>
    <col min="14" max="16" width="3.33203125" customWidth="1"/>
    <col min="17" max="17" width="4.77734375" bestFit="1" customWidth="1"/>
    <col min="18" max="20" width="3.33203125" customWidth="1"/>
    <col min="21" max="21" width="3.77734375" customWidth="1"/>
    <col min="22" max="22" width="4.6640625" bestFit="1" customWidth="1"/>
    <col min="23" max="25" width="3.77734375" customWidth="1"/>
    <col min="26" max="26" width="3.88671875" customWidth="1"/>
    <col min="27" max="29" width="3.33203125" customWidth="1"/>
    <col min="30" max="30" width="6" bestFit="1" customWidth="1"/>
  </cols>
  <sheetData>
    <row r="1" spans="1:30" ht="25.05" customHeight="1" x14ac:dyDescent="0.3">
      <c r="A1" s="10" t="s">
        <v>61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t="25.05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spans="1:30" ht="25.0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 spans="1:30" ht="24.75" customHeight="1" x14ac:dyDescent="0.3">
      <c r="A4" s="11" t="s">
        <v>7</v>
      </c>
      <c r="B4" s="14" t="s">
        <v>8</v>
      </c>
      <c r="C4" s="14" t="s">
        <v>27</v>
      </c>
      <c r="D4" s="11" t="s">
        <v>0</v>
      </c>
      <c r="E4" s="15" t="s">
        <v>4</v>
      </c>
      <c r="F4" s="15"/>
      <c r="G4" s="15"/>
      <c r="H4" s="15"/>
      <c r="I4" s="14" t="s">
        <v>5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1" t="s">
        <v>13</v>
      </c>
      <c r="V4" s="13" t="s">
        <v>14</v>
      </c>
      <c r="W4" s="13"/>
      <c r="X4" s="13"/>
      <c r="Y4" s="13"/>
      <c r="Z4" s="13" t="s">
        <v>26</v>
      </c>
      <c r="AA4" s="13"/>
      <c r="AB4" s="13"/>
      <c r="AC4" s="13"/>
      <c r="AD4" s="18" t="s">
        <v>28</v>
      </c>
    </row>
    <row r="5" spans="1:30" x14ac:dyDescent="0.3">
      <c r="A5" s="11"/>
      <c r="B5" s="14"/>
      <c r="C5" s="14"/>
      <c r="D5" s="11"/>
      <c r="E5" s="12" t="s">
        <v>6</v>
      </c>
      <c r="F5" s="12"/>
      <c r="G5" s="12"/>
      <c r="H5" s="12"/>
      <c r="I5" s="12" t="s">
        <v>6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1"/>
      <c r="V5" s="12" t="s">
        <v>6</v>
      </c>
      <c r="W5" s="12"/>
      <c r="X5" s="12"/>
      <c r="Y5" s="12"/>
      <c r="Z5" s="12" t="s">
        <v>6</v>
      </c>
      <c r="AA5" s="12"/>
      <c r="AB5" s="12"/>
      <c r="AC5" s="12"/>
      <c r="AD5" s="18"/>
    </row>
    <row r="6" spans="1:30" ht="54.6" customHeight="1" x14ac:dyDescent="0.3">
      <c r="A6" s="11"/>
      <c r="B6" s="14"/>
      <c r="C6" s="14"/>
      <c r="D6" s="11"/>
      <c r="E6" s="7" t="s">
        <v>2</v>
      </c>
      <c r="F6" s="1" t="s">
        <v>1</v>
      </c>
      <c r="G6" s="7" t="s">
        <v>3</v>
      </c>
      <c r="H6" s="1" t="s">
        <v>1</v>
      </c>
      <c r="I6" s="7" t="s">
        <v>2</v>
      </c>
      <c r="J6" s="1" t="s">
        <v>10</v>
      </c>
      <c r="K6" s="1" t="s">
        <v>11</v>
      </c>
      <c r="L6" s="1" t="s">
        <v>12</v>
      </c>
      <c r="M6" s="7" t="s">
        <v>3</v>
      </c>
      <c r="N6" s="1" t="s">
        <v>10</v>
      </c>
      <c r="O6" s="1" t="s">
        <v>11</v>
      </c>
      <c r="P6" s="1" t="s">
        <v>12</v>
      </c>
      <c r="Q6" s="7" t="s">
        <v>9</v>
      </c>
      <c r="R6" s="1" t="s">
        <v>10</v>
      </c>
      <c r="S6" s="1" t="s">
        <v>11</v>
      </c>
      <c r="T6" s="1" t="s">
        <v>12</v>
      </c>
      <c r="U6" s="11"/>
      <c r="V6" s="1" t="s">
        <v>25</v>
      </c>
      <c r="W6" s="1" t="s">
        <v>10</v>
      </c>
      <c r="X6" s="1" t="s">
        <v>11</v>
      </c>
      <c r="Y6" s="1" t="s">
        <v>12</v>
      </c>
      <c r="Z6" s="1" t="s">
        <v>29</v>
      </c>
      <c r="AA6" s="1" t="s">
        <v>10</v>
      </c>
      <c r="AB6" s="1" t="s">
        <v>11</v>
      </c>
      <c r="AC6" s="1" t="s">
        <v>12</v>
      </c>
      <c r="AD6" s="18"/>
    </row>
    <row r="7" spans="1:30" x14ac:dyDescent="0.3">
      <c r="A7" s="2">
        <v>1</v>
      </c>
      <c r="B7" s="2">
        <v>2</v>
      </c>
      <c r="C7" s="2">
        <v>3</v>
      </c>
      <c r="D7" s="2">
        <v>4</v>
      </c>
      <c r="E7" s="2">
        <v>5</v>
      </c>
      <c r="F7" s="2">
        <v>6</v>
      </c>
      <c r="G7" s="2">
        <v>7</v>
      </c>
      <c r="H7" s="2">
        <v>8</v>
      </c>
      <c r="I7" s="2">
        <v>9</v>
      </c>
      <c r="J7" s="2">
        <v>10</v>
      </c>
      <c r="K7" s="2">
        <v>11</v>
      </c>
      <c r="L7" s="2">
        <v>12</v>
      </c>
      <c r="M7" s="2">
        <v>13</v>
      </c>
      <c r="N7" s="2">
        <v>14</v>
      </c>
      <c r="O7" s="2">
        <v>15</v>
      </c>
      <c r="P7" s="2">
        <v>16</v>
      </c>
      <c r="Q7" s="2">
        <v>17</v>
      </c>
      <c r="R7" s="2">
        <v>18</v>
      </c>
      <c r="S7" s="2">
        <v>19</v>
      </c>
      <c r="T7" s="2">
        <v>20</v>
      </c>
      <c r="U7" s="2">
        <v>21</v>
      </c>
      <c r="V7" s="2">
        <v>22</v>
      </c>
      <c r="W7" s="2">
        <v>23</v>
      </c>
      <c r="X7" s="2">
        <v>24</v>
      </c>
      <c r="Y7" s="2">
        <v>25</v>
      </c>
      <c r="Z7" s="2">
        <v>26</v>
      </c>
      <c r="AA7" s="2">
        <v>27</v>
      </c>
      <c r="AB7" s="2">
        <v>28</v>
      </c>
      <c r="AC7" s="2">
        <v>29</v>
      </c>
      <c r="AD7" s="2">
        <v>30</v>
      </c>
    </row>
    <row r="8" spans="1:30" ht="20.25" customHeight="1" x14ac:dyDescent="0.3">
      <c r="A8" s="17" t="s">
        <v>21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 spans="1:30" ht="34.200000000000003" x14ac:dyDescent="0.3">
      <c r="A9" s="3">
        <v>1</v>
      </c>
      <c r="B9" s="4"/>
      <c r="C9" s="8" t="s">
        <v>32</v>
      </c>
      <c r="D9" s="6" t="s">
        <v>22</v>
      </c>
      <c r="E9" s="5" t="s">
        <v>15</v>
      </c>
      <c r="F9" s="6">
        <v>58</v>
      </c>
      <c r="G9" s="5" t="s">
        <v>16</v>
      </c>
      <c r="H9" s="6">
        <v>68</v>
      </c>
      <c r="I9" s="5" t="s">
        <v>17</v>
      </c>
      <c r="J9" s="6">
        <v>55</v>
      </c>
      <c r="K9" s="6">
        <v>16</v>
      </c>
      <c r="L9" s="6">
        <f>J9+K9</f>
        <v>71</v>
      </c>
      <c r="M9" s="5" t="s">
        <v>18</v>
      </c>
      <c r="N9" s="6">
        <v>50</v>
      </c>
      <c r="O9" s="6">
        <v>16</v>
      </c>
      <c r="P9" s="6">
        <f>N9+O9</f>
        <v>66</v>
      </c>
      <c r="Q9" s="5" t="s">
        <v>19</v>
      </c>
      <c r="R9" s="6">
        <v>51</v>
      </c>
      <c r="S9" s="6">
        <v>0</v>
      </c>
      <c r="T9" s="6">
        <f>R9+S9</f>
        <v>51</v>
      </c>
      <c r="U9" s="6">
        <f>F9+H9+L9+P9+T9</f>
        <v>314</v>
      </c>
      <c r="V9" s="6"/>
      <c r="W9" s="6"/>
      <c r="X9" s="6"/>
      <c r="Y9" s="6"/>
      <c r="Z9" s="3" t="s">
        <v>20</v>
      </c>
      <c r="AA9" s="3">
        <v>0</v>
      </c>
      <c r="AB9" s="3">
        <v>0</v>
      </c>
      <c r="AC9" s="3">
        <f>AA9+AB9</f>
        <v>0</v>
      </c>
      <c r="AD9" s="2" t="s">
        <v>30</v>
      </c>
    </row>
    <row r="10" spans="1:30" ht="34.200000000000003" x14ac:dyDescent="0.3">
      <c r="A10" s="3">
        <v>2</v>
      </c>
      <c r="B10" s="4"/>
      <c r="C10" s="8" t="s">
        <v>33</v>
      </c>
      <c r="D10" s="6" t="s">
        <v>22</v>
      </c>
      <c r="E10" s="5" t="s">
        <v>15</v>
      </c>
      <c r="F10" s="6">
        <v>65</v>
      </c>
      <c r="G10" s="5" t="s">
        <v>16</v>
      </c>
      <c r="H10" s="6">
        <v>69</v>
      </c>
      <c r="I10" s="5" t="s">
        <v>17</v>
      </c>
      <c r="J10" s="6">
        <v>60</v>
      </c>
      <c r="K10" s="6">
        <v>15</v>
      </c>
      <c r="L10" s="6">
        <f t="shared" ref="L10:L26" si="0">J10+K10</f>
        <v>75</v>
      </c>
      <c r="M10" s="5" t="s">
        <v>18</v>
      </c>
      <c r="N10" s="6">
        <v>68</v>
      </c>
      <c r="O10" s="6">
        <v>16</v>
      </c>
      <c r="P10" s="6">
        <f t="shared" ref="P10:P26" si="1">N10+O10</f>
        <v>84</v>
      </c>
      <c r="Q10" s="5" t="s">
        <v>19</v>
      </c>
      <c r="R10" s="6">
        <v>75</v>
      </c>
      <c r="S10" s="6">
        <v>0</v>
      </c>
      <c r="T10" s="6">
        <f t="shared" ref="T10:T26" si="2">R10+S10</f>
        <v>75</v>
      </c>
      <c r="U10" s="6">
        <f t="shared" ref="U10:U26" si="3">F10+H10+L10+P10+T10</f>
        <v>368</v>
      </c>
      <c r="V10" s="6"/>
      <c r="W10" s="6"/>
      <c r="X10" s="6"/>
      <c r="Y10" s="6"/>
      <c r="Z10" s="3" t="s">
        <v>20</v>
      </c>
      <c r="AA10" s="3">
        <v>0</v>
      </c>
      <c r="AB10" s="3">
        <v>0</v>
      </c>
      <c r="AC10" s="3">
        <f t="shared" ref="AC10:AC26" si="4">AA10+AB10</f>
        <v>0</v>
      </c>
      <c r="AD10" s="2" t="s">
        <v>30</v>
      </c>
    </row>
    <row r="11" spans="1:30" ht="34.200000000000003" x14ac:dyDescent="0.3">
      <c r="A11" s="3">
        <v>3</v>
      </c>
      <c r="B11" s="4"/>
      <c r="C11" s="8" t="s">
        <v>34</v>
      </c>
      <c r="D11" s="6" t="s">
        <v>22</v>
      </c>
      <c r="E11" s="5" t="s">
        <v>15</v>
      </c>
      <c r="F11" s="6">
        <v>60</v>
      </c>
      <c r="G11" s="5" t="s">
        <v>16</v>
      </c>
      <c r="H11" s="6">
        <v>63</v>
      </c>
      <c r="I11" s="5" t="s">
        <v>17</v>
      </c>
      <c r="J11" s="6">
        <v>50</v>
      </c>
      <c r="K11" s="6">
        <v>20</v>
      </c>
      <c r="L11" s="6">
        <f t="shared" si="0"/>
        <v>70</v>
      </c>
      <c r="M11" s="5" t="s">
        <v>18</v>
      </c>
      <c r="N11" s="6">
        <v>58</v>
      </c>
      <c r="O11" s="6">
        <v>15</v>
      </c>
      <c r="P11" s="6">
        <f t="shared" si="1"/>
        <v>73</v>
      </c>
      <c r="Q11" s="5" t="s">
        <v>24</v>
      </c>
      <c r="R11" s="6">
        <v>52</v>
      </c>
      <c r="S11" s="6">
        <v>18</v>
      </c>
      <c r="T11" s="6">
        <f t="shared" si="2"/>
        <v>70</v>
      </c>
      <c r="U11" s="6">
        <f t="shared" si="3"/>
        <v>336</v>
      </c>
      <c r="V11" s="6"/>
      <c r="W11" s="6"/>
      <c r="X11" s="6"/>
      <c r="Y11" s="6"/>
      <c r="Z11" s="3" t="s">
        <v>20</v>
      </c>
      <c r="AA11" s="3">
        <v>0</v>
      </c>
      <c r="AB11" s="3">
        <v>0</v>
      </c>
      <c r="AC11" s="3">
        <f t="shared" si="4"/>
        <v>0</v>
      </c>
      <c r="AD11" s="2" t="s">
        <v>30</v>
      </c>
    </row>
    <row r="12" spans="1:30" ht="34.200000000000003" x14ac:dyDescent="0.3">
      <c r="A12" s="3">
        <v>4</v>
      </c>
      <c r="B12" s="4"/>
      <c r="C12" s="8" t="s">
        <v>35</v>
      </c>
      <c r="D12" s="6" t="s">
        <v>22</v>
      </c>
      <c r="E12" s="5" t="s">
        <v>15</v>
      </c>
      <c r="F12" s="6">
        <v>88</v>
      </c>
      <c r="G12" s="5" t="s">
        <v>16</v>
      </c>
      <c r="H12" s="6">
        <v>80</v>
      </c>
      <c r="I12" s="5" t="s">
        <v>17</v>
      </c>
      <c r="J12" s="6">
        <v>65</v>
      </c>
      <c r="K12" s="6">
        <v>15</v>
      </c>
      <c r="L12" s="6">
        <f t="shared" si="0"/>
        <v>80</v>
      </c>
      <c r="M12" s="5" t="s">
        <v>18</v>
      </c>
      <c r="N12" s="6">
        <v>64</v>
      </c>
      <c r="O12" s="6">
        <v>16</v>
      </c>
      <c r="P12" s="6">
        <f t="shared" si="1"/>
        <v>80</v>
      </c>
      <c r="Q12" s="5" t="s">
        <v>19</v>
      </c>
      <c r="R12" s="6">
        <v>81</v>
      </c>
      <c r="S12" s="6">
        <v>0</v>
      </c>
      <c r="T12" s="6">
        <f t="shared" si="2"/>
        <v>81</v>
      </c>
      <c r="U12" s="6">
        <f t="shared" si="3"/>
        <v>409</v>
      </c>
      <c r="V12" s="6"/>
      <c r="W12" s="6"/>
      <c r="X12" s="6"/>
      <c r="Y12" s="6"/>
      <c r="Z12" s="3" t="s">
        <v>20</v>
      </c>
      <c r="AA12" s="3">
        <v>0</v>
      </c>
      <c r="AB12" s="3">
        <v>0</v>
      </c>
      <c r="AC12" s="3">
        <f t="shared" si="4"/>
        <v>0</v>
      </c>
      <c r="AD12" s="2" t="s">
        <v>30</v>
      </c>
    </row>
    <row r="13" spans="1:30" ht="34.200000000000003" x14ac:dyDescent="0.3">
      <c r="A13" s="3">
        <v>5</v>
      </c>
      <c r="B13" s="4"/>
      <c r="C13" s="8" t="s">
        <v>36</v>
      </c>
      <c r="D13" s="6" t="s">
        <v>23</v>
      </c>
      <c r="E13" s="5" t="s">
        <v>15</v>
      </c>
      <c r="F13" s="6">
        <v>50</v>
      </c>
      <c r="G13" s="5" t="s">
        <v>16</v>
      </c>
      <c r="H13" s="6">
        <v>60</v>
      </c>
      <c r="I13" s="5" t="s">
        <v>17</v>
      </c>
      <c r="J13" s="6">
        <v>51</v>
      </c>
      <c r="K13" s="6">
        <v>16</v>
      </c>
      <c r="L13" s="6">
        <f t="shared" si="0"/>
        <v>67</v>
      </c>
      <c r="M13" s="5" t="s">
        <v>18</v>
      </c>
      <c r="N13" s="6">
        <v>50</v>
      </c>
      <c r="O13" s="6">
        <v>16</v>
      </c>
      <c r="P13" s="6">
        <f t="shared" si="1"/>
        <v>66</v>
      </c>
      <c r="Q13" s="5" t="s">
        <v>19</v>
      </c>
      <c r="R13" s="6">
        <v>59</v>
      </c>
      <c r="S13" s="6">
        <v>0</v>
      </c>
      <c r="T13" s="6">
        <f t="shared" si="2"/>
        <v>59</v>
      </c>
      <c r="U13" s="6">
        <f t="shared" si="3"/>
        <v>302</v>
      </c>
      <c r="V13" s="6"/>
      <c r="W13" s="6"/>
      <c r="X13" s="6"/>
      <c r="Y13" s="6"/>
      <c r="Z13" s="3" t="s">
        <v>20</v>
      </c>
      <c r="AA13" s="3">
        <v>0</v>
      </c>
      <c r="AB13" s="3">
        <v>0</v>
      </c>
      <c r="AC13" s="3">
        <f t="shared" si="4"/>
        <v>0</v>
      </c>
      <c r="AD13" s="2" t="s">
        <v>30</v>
      </c>
    </row>
    <row r="14" spans="1:30" ht="34.200000000000003" x14ac:dyDescent="0.3">
      <c r="A14" s="3">
        <v>6</v>
      </c>
      <c r="B14" s="4"/>
      <c r="C14" s="8" t="s">
        <v>37</v>
      </c>
      <c r="D14" s="6" t="s">
        <v>23</v>
      </c>
      <c r="E14" s="5" t="s">
        <v>15</v>
      </c>
      <c r="F14" s="6">
        <v>88</v>
      </c>
      <c r="G14" s="5" t="s">
        <v>16</v>
      </c>
      <c r="H14" s="6">
        <v>80</v>
      </c>
      <c r="I14" s="5" t="s">
        <v>17</v>
      </c>
      <c r="J14" s="6">
        <v>65</v>
      </c>
      <c r="K14" s="6">
        <v>15</v>
      </c>
      <c r="L14" s="6">
        <f t="shared" si="0"/>
        <v>80</v>
      </c>
      <c r="M14" s="5" t="s">
        <v>18</v>
      </c>
      <c r="N14" s="6">
        <v>64</v>
      </c>
      <c r="O14" s="6">
        <v>15</v>
      </c>
      <c r="P14" s="6">
        <f t="shared" si="1"/>
        <v>79</v>
      </c>
      <c r="Q14" s="5" t="s">
        <v>19</v>
      </c>
      <c r="R14" s="6">
        <v>81</v>
      </c>
      <c r="S14" s="6">
        <v>0</v>
      </c>
      <c r="T14" s="6">
        <f t="shared" si="2"/>
        <v>81</v>
      </c>
      <c r="U14" s="6">
        <f t="shared" si="3"/>
        <v>408</v>
      </c>
      <c r="V14" s="6"/>
      <c r="W14" s="6"/>
      <c r="X14" s="6"/>
      <c r="Y14" s="6"/>
      <c r="Z14" s="3" t="s">
        <v>20</v>
      </c>
      <c r="AA14" s="3">
        <v>0</v>
      </c>
      <c r="AB14" s="3">
        <v>0</v>
      </c>
      <c r="AC14" s="3">
        <f t="shared" si="4"/>
        <v>0</v>
      </c>
      <c r="AD14" s="2" t="s">
        <v>30</v>
      </c>
    </row>
    <row r="15" spans="1:30" ht="34.200000000000003" x14ac:dyDescent="0.3">
      <c r="A15" s="3">
        <v>7</v>
      </c>
      <c r="B15" s="4"/>
      <c r="C15" s="8" t="s">
        <v>38</v>
      </c>
      <c r="D15" s="6" t="s">
        <v>22</v>
      </c>
      <c r="E15" s="5" t="s">
        <v>15</v>
      </c>
      <c r="F15" s="6">
        <v>58</v>
      </c>
      <c r="G15" s="5" t="s">
        <v>16</v>
      </c>
      <c r="H15" s="6">
        <v>59</v>
      </c>
      <c r="I15" s="5" t="s">
        <v>17</v>
      </c>
      <c r="J15" s="6">
        <v>57</v>
      </c>
      <c r="K15" s="6">
        <v>16</v>
      </c>
      <c r="L15" s="6">
        <f t="shared" si="0"/>
        <v>73</v>
      </c>
      <c r="M15" s="5" t="s">
        <v>18</v>
      </c>
      <c r="N15" s="6">
        <v>51</v>
      </c>
      <c r="O15" s="6">
        <v>20</v>
      </c>
      <c r="P15" s="6">
        <f t="shared" si="1"/>
        <v>71</v>
      </c>
      <c r="Q15" s="5" t="s">
        <v>19</v>
      </c>
      <c r="R15" s="6">
        <v>55</v>
      </c>
      <c r="S15" s="6">
        <v>0</v>
      </c>
      <c r="T15" s="6">
        <f t="shared" si="2"/>
        <v>55</v>
      </c>
      <c r="U15" s="6">
        <f t="shared" si="3"/>
        <v>316</v>
      </c>
      <c r="V15" s="6"/>
      <c r="W15" s="6"/>
      <c r="X15" s="6"/>
      <c r="Y15" s="6"/>
      <c r="Z15" s="3" t="s">
        <v>20</v>
      </c>
      <c r="AA15" s="3">
        <v>0</v>
      </c>
      <c r="AB15" s="3">
        <v>0</v>
      </c>
      <c r="AC15" s="3">
        <f t="shared" si="4"/>
        <v>0</v>
      </c>
      <c r="AD15" s="2" t="s">
        <v>30</v>
      </c>
    </row>
    <row r="16" spans="1:30" ht="34.200000000000003" x14ac:dyDescent="0.3">
      <c r="A16" s="3">
        <v>8</v>
      </c>
      <c r="B16" s="4"/>
      <c r="C16" s="8" t="s">
        <v>39</v>
      </c>
      <c r="D16" s="6" t="s">
        <v>23</v>
      </c>
      <c r="E16" s="5" t="s">
        <v>15</v>
      </c>
      <c r="F16" s="6">
        <v>61</v>
      </c>
      <c r="G16" s="5" t="s">
        <v>16</v>
      </c>
      <c r="H16" s="6">
        <v>54</v>
      </c>
      <c r="I16" s="5" t="s">
        <v>17</v>
      </c>
      <c r="J16" s="6">
        <v>54</v>
      </c>
      <c r="K16" s="6">
        <v>15</v>
      </c>
      <c r="L16" s="6">
        <f t="shared" si="0"/>
        <v>69</v>
      </c>
      <c r="M16" s="5" t="s">
        <v>18</v>
      </c>
      <c r="N16" s="6">
        <v>56</v>
      </c>
      <c r="O16" s="6">
        <v>15</v>
      </c>
      <c r="P16" s="6">
        <f t="shared" si="1"/>
        <v>71</v>
      </c>
      <c r="Q16" s="5" t="s">
        <v>19</v>
      </c>
      <c r="R16" s="6">
        <v>58</v>
      </c>
      <c r="S16" s="6">
        <v>0</v>
      </c>
      <c r="T16" s="6">
        <f t="shared" si="2"/>
        <v>58</v>
      </c>
      <c r="U16" s="6">
        <f t="shared" si="3"/>
        <v>313</v>
      </c>
      <c r="V16" s="3" t="s">
        <v>24</v>
      </c>
      <c r="W16" s="3">
        <v>50</v>
      </c>
      <c r="X16" s="3">
        <v>14</v>
      </c>
      <c r="Y16" s="3">
        <f>W16+X16</f>
        <v>64</v>
      </c>
      <c r="Z16" s="3" t="s">
        <v>20</v>
      </c>
      <c r="AA16" s="3">
        <v>0</v>
      </c>
      <c r="AB16" s="3">
        <v>0</v>
      </c>
      <c r="AC16" s="3">
        <f t="shared" si="4"/>
        <v>0</v>
      </c>
      <c r="AD16" s="2" t="s">
        <v>30</v>
      </c>
    </row>
    <row r="17" spans="1:30" ht="34.200000000000003" x14ac:dyDescent="0.3">
      <c r="A17" s="3">
        <v>9</v>
      </c>
      <c r="B17" s="4"/>
      <c r="C17" s="8" t="s">
        <v>40</v>
      </c>
      <c r="D17" s="6" t="s">
        <v>23</v>
      </c>
      <c r="E17" s="5" t="s">
        <v>15</v>
      </c>
      <c r="F17" s="6">
        <v>59</v>
      </c>
      <c r="G17" s="5" t="s">
        <v>16</v>
      </c>
      <c r="H17" s="6">
        <v>50</v>
      </c>
      <c r="I17" s="5" t="s">
        <v>17</v>
      </c>
      <c r="J17" s="6">
        <v>53</v>
      </c>
      <c r="K17" s="6">
        <v>15</v>
      </c>
      <c r="L17" s="6">
        <f t="shared" si="0"/>
        <v>68</v>
      </c>
      <c r="M17" s="5" t="s">
        <v>18</v>
      </c>
      <c r="N17" s="6">
        <v>55</v>
      </c>
      <c r="O17" s="6">
        <v>15</v>
      </c>
      <c r="P17" s="6">
        <f t="shared" si="1"/>
        <v>70</v>
      </c>
      <c r="Q17" s="5" t="s">
        <v>24</v>
      </c>
      <c r="R17" s="6">
        <v>50</v>
      </c>
      <c r="S17" s="6">
        <v>0</v>
      </c>
      <c r="T17" s="6">
        <f t="shared" si="2"/>
        <v>50</v>
      </c>
      <c r="U17" s="6">
        <f t="shared" si="3"/>
        <v>297</v>
      </c>
      <c r="V17" s="6" t="s">
        <v>19</v>
      </c>
      <c r="W17" s="3">
        <v>55</v>
      </c>
      <c r="X17" s="3">
        <v>0</v>
      </c>
      <c r="Y17" s="3">
        <f>W17+X17</f>
        <v>55</v>
      </c>
      <c r="Z17" s="3" t="s">
        <v>20</v>
      </c>
      <c r="AA17" s="3">
        <v>0</v>
      </c>
      <c r="AB17" s="3">
        <v>0</v>
      </c>
      <c r="AC17" s="3">
        <f t="shared" si="4"/>
        <v>0</v>
      </c>
      <c r="AD17" s="2" t="s">
        <v>30</v>
      </c>
    </row>
    <row r="18" spans="1:30" ht="45.6" x14ac:dyDescent="0.3">
      <c r="A18" s="3">
        <v>10</v>
      </c>
      <c r="B18" s="4"/>
      <c r="C18" s="8" t="s">
        <v>41</v>
      </c>
      <c r="D18" s="6" t="s">
        <v>23</v>
      </c>
      <c r="E18" s="5" t="s">
        <v>15</v>
      </c>
      <c r="F18" s="6">
        <v>61</v>
      </c>
      <c r="G18" s="5" t="s">
        <v>16</v>
      </c>
      <c r="H18" s="6">
        <v>61</v>
      </c>
      <c r="I18" s="5" t="s">
        <v>17</v>
      </c>
      <c r="J18" s="6">
        <v>55</v>
      </c>
      <c r="K18" s="6">
        <v>20</v>
      </c>
      <c r="L18" s="6">
        <f t="shared" si="0"/>
        <v>75</v>
      </c>
      <c r="M18" s="5" t="s">
        <v>18</v>
      </c>
      <c r="N18" s="6">
        <v>51</v>
      </c>
      <c r="O18" s="6">
        <v>20</v>
      </c>
      <c r="P18" s="6">
        <f t="shared" si="1"/>
        <v>71</v>
      </c>
      <c r="Q18" s="5" t="s">
        <v>19</v>
      </c>
      <c r="R18" s="6">
        <v>49</v>
      </c>
      <c r="S18" s="6">
        <v>0</v>
      </c>
      <c r="T18" s="6">
        <f t="shared" si="2"/>
        <v>49</v>
      </c>
      <c r="U18" s="6">
        <f t="shared" si="3"/>
        <v>317</v>
      </c>
      <c r="V18" s="6"/>
      <c r="W18" s="6"/>
      <c r="X18" s="6"/>
      <c r="Y18" s="6"/>
      <c r="Z18" s="3" t="s">
        <v>20</v>
      </c>
      <c r="AA18" s="3">
        <v>0</v>
      </c>
      <c r="AB18" s="3">
        <v>0</v>
      </c>
      <c r="AC18" s="3">
        <f t="shared" si="4"/>
        <v>0</v>
      </c>
      <c r="AD18" s="2" t="s">
        <v>30</v>
      </c>
    </row>
    <row r="19" spans="1:30" ht="34.200000000000003" x14ac:dyDescent="0.3">
      <c r="A19" s="3">
        <v>11</v>
      </c>
      <c r="B19" s="4"/>
      <c r="C19" s="8" t="s">
        <v>42</v>
      </c>
      <c r="D19" s="6" t="s">
        <v>22</v>
      </c>
      <c r="E19" s="5" t="s">
        <v>15</v>
      </c>
      <c r="F19" s="6">
        <v>52</v>
      </c>
      <c r="G19" s="5" t="s">
        <v>16</v>
      </c>
      <c r="H19" s="6">
        <v>58</v>
      </c>
      <c r="I19" s="5" t="s">
        <v>17</v>
      </c>
      <c r="J19" s="6">
        <v>58</v>
      </c>
      <c r="K19" s="6">
        <v>15</v>
      </c>
      <c r="L19" s="6">
        <f t="shared" si="0"/>
        <v>73</v>
      </c>
      <c r="M19" s="5" t="s">
        <v>18</v>
      </c>
      <c r="N19" s="6">
        <v>50</v>
      </c>
      <c r="O19" s="6">
        <v>20</v>
      </c>
      <c r="P19" s="6">
        <f t="shared" si="1"/>
        <v>70</v>
      </c>
      <c r="Q19" s="5" t="s">
        <v>19</v>
      </c>
      <c r="R19" s="6">
        <v>58</v>
      </c>
      <c r="S19" s="6">
        <v>0</v>
      </c>
      <c r="T19" s="6">
        <f t="shared" si="2"/>
        <v>58</v>
      </c>
      <c r="U19" s="6">
        <f t="shared" si="3"/>
        <v>311</v>
      </c>
      <c r="V19" s="3" t="s">
        <v>24</v>
      </c>
      <c r="W19" s="3">
        <v>58</v>
      </c>
      <c r="X19" s="3">
        <v>19</v>
      </c>
      <c r="Y19" s="3">
        <f>W19+X19</f>
        <v>77</v>
      </c>
      <c r="Z19" s="3" t="s">
        <v>20</v>
      </c>
      <c r="AA19" s="3">
        <v>0</v>
      </c>
      <c r="AB19" s="3">
        <v>0</v>
      </c>
      <c r="AC19" s="3">
        <f t="shared" si="4"/>
        <v>0</v>
      </c>
      <c r="AD19" s="2" t="s">
        <v>30</v>
      </c>
    </row>
    <row r="20" spans="1:30" ht="34.200000000000003" x14ac:dyDescent="0.3">
      <c r="A20" s="3">
        <v>12</v>
      </c>
      <c r="B20" s="4"/>
      <c r="C20" s="8" t="s">
        <v>43</v>
      </c>
      <c r="D20" s="6" t="s">
        <v>22</v>
      </c>
      <c r="E20" s="5" t="s">
        <v>15</v>
      </c>
      <c r="F20" s="6">
        <v>64</v>
      </c>
      <c r="G20" s="5" t="s">
        <v>16</v>
      </c>
      <c r="H20" s="6">
        <v>51</v>
      </c>
      <c r="I20" s="5" t="s">
        <v>17</v>
      </c>
      <c r="J20" s="6">
        <v>64</v>
      </c>
      <c r="K20" s="6">
        <v>16</v>
      </c>
      <c r="L20" s="6">
        <f t="shared" si="0"/>
        <v>80</v>
      </c>
      <c r="M20" s="5" t="s">
        <v>18</v>
      </c>
      <c r="N20" s="6">
        <v>60</v>
      </c>
      <c r="O20" s="6">
        <v>16</v>
      </c>
      <c r="P20" s="6">
        <f t="shared" si="1"/>
        <v>76</v>
      </c>
      <c r="Q20" s="5" t="s">
        <v>19</v>
      </c>
      <c r="R20" s="6">
        <v>50</v>
      </c>
      <c r="S20" s="6">
        <v>0</v>
      </c>
      <c r="T20" s="6">
        <f t="shared" si="2"/>
        <v>50</v>
      </c>
      <c r="U20" s="6">
        <f t="shared" si="3"/>
        <v>321</v>
      </c>
      <c r="V20" s="6"/>
      <c r="W20" s="6"/>
      <c r="X20" s="6"/>
      <c r="Y20" s="6"/>
      <c r="Z20" s="3" t="s">
        <v>20</v>
      </c>
      <c r="AA20" s="3">
        <v>0</v>
      </c>
      <c r="AB20" s="3">
        <v>0</v>
      </c>
      <c r="AC20" s="3">
        <f t="shared" si="4"/>
        <v>0</v>
      </c>
      <c r="AD20" s="2" t="s">
        <v>30</v>
      </c>
    </row>
    <row r="21" spans="1:30" ht="34.200000000000003" x14ac:dyDescent="0.3">
      <c r="A21" s="3">
        <v>13</v>
      </c>
      <c r="B21" s="4"/>
      <c r="C21" s="8" t="s">
        <v>44</v>
      </c>
      <c r="D21" s="6" t="s">
        <v>23</v>
      </c>
      <c r="E21" s="5" t="s">
        <v>15</v>
      </c>
      <c r="F21" s="6">
        <v>51</v>
      </c>
      <c r="G21" s="5" t="s">
        <v>16</v>
      </c>
      <c r="H21" s="6">
        <v>52</v>
      </c>
      <c r="I21" s="5" t="s">
        <v>17</v>
      </c>
      <c r="J21" s="6">
        <v>50</v>
      </c>
      <c r="K21" s="6">
        <v>16</v>
      </c>
      <c r="L21" s="6">
        <f t="shared" si="0"/>
        <v>66</v>
      </c>
      <c r="M21" s="5" t="s">
        <v>18</v>
      </c>
      <c r="N21" s="6">
        <v>51</v>
      </c>
      <c r="O21" s="6">
        <v>15</v>
      </c>
      <c r="P21" s="6">
        <f t="shared" si="1"/>
        <v>66</v>
      </c>
      <c r="Q21" s="5" t="s">
        <v>19</v>
      </c>
      <c r="R21" s="6">
        <v>57</v>
      </c>
      <c r="S21" s="6">
        <v>0</v>
      </c>
      <c r="T21" s="6">
        <f t="shared" si="2"/>
        <v>57</v>
      </c>
      <c r="U21" s="6">
        <f t="shared" si="3"/>
        <v>292</v>
      </c>
      <c r="V21" s="6"/>
      <c r="W21" s="6"/>
      <c r="X21" s="6"/>
      <c r="Y21" s="6"/>
      <c r="Z21" s="3" t="s">
        <v>20</v>
      </c>
      <c r="AA21" s="3">
        <v>0</v>
      </c>
      <c r="AB21" s="3">
        <v>0</v>
      </c>
      <c r="AC21" s="3">
        <f t="shared" si="4"/>
        <v>0</v>
      </c>
      <c r="AD21" s="2" t="s">
        <v>30</v>
      </c>
    </row>
    <row r="22" spans="1:30" ht="34.200000000000003" x14ac:dyDescent="0.3">
      <c r="A22" s="3">
        <v>14</v>
      </c>
      <c r="B22" s="4"/>
      <c r="C22" s="8" t="s">
        <v>45</v>
      </c>
      <c r="D22" s="6" t="s">
        <v>23</v>
      </c>
      <c r="E22" s="5" t="s">
        <v>15</v>
      </c>
      <c r="F22" s="6">
        <v>59</v>
      </c>
      <c r="G22" s="5" t="s">
        <v>16</v>
      </c>
      <c r="H22" s="6">
        <v>60</v>
      </c>
      <c r="I22" s="5" t="s">
        <v>17</v>
      </c>
      <c r="J22" s="6">
        <v>64</v>
      </c>
      <c r="K22" s="6">
        <v>16</v>
      </c>
      <c r="L22" s="6">
        <f t="shared" si="0"/>
        <v>80</v>
      </c>
      <c r="M22" s="5" t="s">
        <v>18</v>
      </c>
      <c r="N22" s="6">
        <v>59</v>
      </c>
      <c r="O22" s="6">
        <v>16</v>
      </c>
      <c r="P22" s="6">
        <f t="shared" si="1"/>
        <v>75</v>
      </c>
      <c r="Q22" s="5" t="s">
        <v>19</v>
      </c>
      <c r="R22" s="6">
        <v>60</v>
      </c>
      <c r="S22" s="6">
        <v>0</v>
      </c>
      <c r="T22" s="6">
        <f t="shared" si="2"/>
        <v>60</v>
      </c>
      <c r="U22" s="6">
        <f t="shared" si="3"/>
        <v>334</v>
      </c>
      <c r="V22" s="3" t="s">
        <v>24</v>
      </c>
      <c r="W22" s="3">
        <v>52</v>
      </c>
      <c r="X22" s="3">
        <v>14</v>
      </c>
      <c r="Y22" s="3">
        <f>W22+X22</f>
        <v>66</v>
      </c>
      <c r="Z22" s="3" t="s">
        <v>20</v>
      </c>
      <c r="AA22" s="3">
        <v>0</v>
      </c>
      <c r="AB22" s="3">
        <v>0</v>
      </c>
      <c r="AC22" s="3">
        <f t="shared" si="4"/>
        <v>0</v>
      </c>
      <c r="AD22" s="2" t="s">
        <v>30</v>
      </c>
    </row>
    <row r="23" spans="1:30" ht="34.200000000000003" x14ac:dyDescent="0.3">
      <c r="A23" s="3">
        <v>15</v>
      </c>
      <c r="B23" s="4"/>
      <c r="C23" s="8" t="s">
        <v>46</v>
      </c>
      <c r="D23" s="6" t="s">
        <v>23</v>
      </c>
      <c r="E23" s="5" t="s">
        <v>15</v>
      </c>
      <c r="F23" s="6">
        <v>49</v>
      </c>
      <c r="G23" s="5" t="s">
        <v>16</v>
      </c>
      <c r="H23" s="6">
        <v>69</v>
      </c>
      <c r="I23" s="5" t="s">
        <v>17</v>
      </c>
      <c r="J23" s="6">
        <v>51</v>
      </c>
      <c r="K23" s="6">
        <v>15</v>
      </c>
      <c r="L23" s="6">
        <f t="shared" si="0"/>
        <v>66</v>
      </c>
      <c r="M23" s="5" t="s">
        <v>18</v>
      </c>
      <c r="N23" s="6">
        <v>57</v>
      </c>
      <c r="O23" s="6">
        <v>16</v>
      </c>
      <c r="P23" s="6">
        <f t="shared" si="1"/>
        <v>73</v>
      </c>
      <c r="Q23" s="5" t="s">
        <v>19</v>
      </c>
      <c r="R23" s="6">
        <v>55</v>
      </c>
      <c r="S23" s="6">
        <v>0</v>
      </c>
      <c r="T23" s="6">
        <f t="shared" si="2"/>
        <v>55</v>
      </c>
      <c r="U23" s="6">
        <f t="shared" si="3"/>
        <v>312</v>
      </c>
      <c r="V23" s="6"/>
      <c r="W23" s="6"/>
      <c r="X23" s="6"/>
      <c r="Y23" s="6"/>
      <c r="Z23" s="3" t="s">
        <v>20</v>
      </c>
      <c r="AA23" s="3">
        <v>0</v>
      </c>
      <c r="AB23" s="3">
        <v>0</v>
      </c>
      <c r="AC23" s="3">
        <f t="shared" si="4"/>
        <v>0</v>
      </c>
      <c r="AD23" s="2" t="s">
        <v>30</v>
      </c>
    </row>
    <row r="24" spans="1:30" ht="34.200000000000003" x14ac:dyDescent="0.3">
      <c r="A24" s="3">
        <v>16</v>
      </c>
      <c r="B24" s="4"/>
      <c r="C24" s="8" t="s">
        <v>47</v>
      </c>
      <c r="D24" s="6" t="s">
        <v>23</v>
      </c>
      <c r="E24" s="5" t="s">
        <v>15</v>
      </c>
      <c r="F24" s="6">
        <v>67</v>
      </c>
      <c r="G24" s="5" t="s">
        <v>16</v>
      </c>
      <c r="H24" s="6">
        <v>48</v>
      </c>
      <c r="I24" s="5" t="s">
        <v>17</v>
      </c>
      <c r="J24" s="6">
        <v>56</v>
      </c>
      <c r="K24" s="6">
        <v>16</v>
      </c>
      <c r="L24" s="6">
        <f t="shared" si="0"/>
        <v>72</v>
      </c>
      <c r="M24" s="5" t="s">
        <v>18</v>
      </c>
      <c r="N24" s="6">
        <v>54</v>
      </c>
      <c r="O24" s="6">
        <v>16</v>
      </c>
      <c r="P24" s="6">
        <f t="shared" si="1"/>
        <v>70</v>
      </c>
      <c r="Q24" s="5" t="s">
        <v>19</v>
      </c>
      <c r="R24" s="6">
        <v>58</v>
      </c>
      <c r="S24" s="6">
        <v>0</v>
      </c>
      <c r="T24" s="6">
        <f t="shared" si="2"/>
        <v>58</v>
      </c>
      <c r="U24" s="6">
        <f t="shared" si="3"/>
        <v>315</v>
      </c>
      <c r="V24" s="3" t="s">
        <v>24</v>
      </c>
      <c r="W24" s="3">
        <v>54</v>
      </c>
      <c r="X24" s="3">
        <v>15</v>
      </c>
      <c r="Y24" s="3">
        <f>W24+X24</f>
        <v>69</v>
      </c>
      <c r="Z24" s="3" t="s">
        <v>20</v>
      </c>
      <c r="AA24" s="3">
        <v>0</v>
      </c>
      <c r="AB24" s="3">
        <v>0</v>
      </c>
      <c r="AC24" s="3">
        <f t="shared" si="4"/>
        <v>0</v>
      </c>
      <c r="AD24" s="2" t="s">
        <v>30</v>
      </c>
    </row>
    <row r="25" spans="1:30" ht="34.200000000000003" x14ac:dyDescent="0.3">
      <c r="A25" s="3">
        <v>17</v>
      </c>
      <c r="B25" s="4"/>
      <c r="C25" s="8" t="s">
        <v>48</v>
      </c>
      <c r="D25" s="6" t="s">
        <v>23</v>
      </c>
      <c r="E25" s="5" t="s">
        <v>15</v>
      </c>
      <c r="F25" s="6">
        <v>68</v>
      </c>
      <c r="G25" s="5" t="s">
        <v>16</v>
      </c>
      <c r="H25" s="6">
        <v>70</v>
      </c>
      <c r="I25" s="5" t="s">
        <v>17</v>
      </c>
      <c r="J25" s="6">
        <v>60</v>
      </c>
      <c r="K25" s="6">
        <v>16</v>
      </c>
      <c r="L25" s="6">
        <f t="shared" si="0"/>
        <v>76</v>
      </c>
      <c r="M25" s="5" t="s">
        <v>18</v>
      </c>
      <c r="N25" s="6">
        <v>53</v>
      </c>
      <c r="O25" s="6">
        <v>16</v>
      </c>
      <c r="P25" s="6">
        <f t="shared" si="1"/>
        <v>69</v>
      </c>
      <c r="Q25" s="5" t="s">
        <v>19</v>
      </c>
      <c r="R25" s="6">
        <v>51</v>
      </c>
      <c r="S25" s="6">
        <v>0</v>
      </c>
      <c r="T25" s="6">
        <f t="shared" si="2"/>
        <v>51</v>
      </c>
      <c r="U25" s="6">
        <f t="shared" si="3"/>
        <v>334</v>
      </c>
      <c r="V25" s="6"/>
      <c r="W25" s="6"/>
      <c r="X25" s="6"/>
      <c r="Y25" s="6"/>
      <c r="Z25" s="3" t="s">
        <v>20</v>
      </c>
      <c r="AA25" s="3">
        <v>0</v>
      </c>
      <c r="AB25" s="3">
        <v>0</v>
      </c>
      <c r="AC25" s="3">
        <f t="shared" si="4"/>
        <v>0</v>
      </c>
      <c r="AD25" s="2" t="s">
        <v>30</v>
      </c>
    </row>
    <row r="26" spans="1:30" ht="34.200000000000003" x14ac:dyDescent="0.3">
      <c r="A26" s="3">
        <v>18</v>
      </c>
      <c r="B26" s="4"/>
      <c r="C26" s="8" t="s">
        <v>49</v>
      </c>
      <c r="D26" s="6" t="s">
        <v>23</v>
      </c>
      <c r="E26" s="5" t="s">
        <v>15</v>
      </c>
      <c r="F26" s="6">
        <v>51</v>
      </c>
      <c r="G26" s="5" t="s">
        <v>16</v>
      </c>
      <c r="H26" s="6">
        <v>61</v>
      </c>
      <c r="I26" s="5" t="s">
        <v>17</v>
      </c>
      <c r="J26" s="6">
        <v>59</v>
      </c>
      <c r="K26" s="6">
        <v>15</v>
      </c>
      <c r="L26" s="6">
        <f t="shared" si="0"/>
        <v>74</v>
      </c>
      <c r="M26" s="5" t="s">
        <v>18</v>
      </c>
      <c r="N26" s="6">
        <v>55</v>
      </c>
      <c r="O26" s="6">
        <v>15</v>
      </c>
      <c r="P26" s="6">
        <f t="shared" si="1"/>
        <v>70</v>
      </c>
      <c r="Q26" s="5" t="s">
        <v>19</v>
      </c>
      <c r="R26" s="6">
        <v>58</v>
      </c>
      <c r="S26" s="6">
        <v>0</v>
      </c>
      <c r="T26" s="6">
        <f t="shared" si="2"/>
        <v>58</v>
      </c>
      <c r="U26" s="6">
        <f t="shared" si="3"/>
        <v>314</v>
      </c>
      <c r="V26" s="6"/>
      <c r="W26" s="6"/>
      <c r="X26" s="6"/>
      <c r="Y26" s="6"/>
      <c r="Z26" s="3" t="s">
        <v>20</v>
      </c>
      <c r="AA26" s="3">
        <v>0</v>
      </c>
      <c r="AB26" s="3">
        <v>0</v>
      </c>
      <c r="AC26" s="3">
        <f t="shared" si="4"/>
        <v>0</v>
      </c>
      <c r="AD26" s="2" t="s">
        <v>30</v>
      </c>
    </row>
    <row r="27" spans="1:30" ht="34.200000000000003" x14ac:dyDescent="0.3">
      <c r="A27" s="3">
        <v>19</v>
      </c>
      <c r="B27" s="4"/>
      <c r="C27" s="8" t="s">
        <v>50</v>
      </c>
      <c r="D27" s="6" t="s">
        <v>23</v>
      </c>
      <c r="E27" s="5" t="s">
        <v>15</v>
      </c>
      <c r="F27" s="6">
        <v>46</v>
      </c>
      <c r="G27" s="5" t="s">
        <v>16</v>
      </c>
      <c r="H27" s="6">
        <v>72.6666666666667</v>
      </c>
      <c r="I27" s="5" t="s">
        <v>17</v>
      </c>
      <c r="J27" s="6">
        <v>61.3333333333333</v>
      </c>
      <c r="K27" s="6">
        <v>14.6666666666667</v>
      </c>
      <c r="L27" s="6">
        <f t="shared" ref="L27:L37" si="5">J27+K27</f>
        <v>76</v>
      </c>
      <c r="M27" s="5" t="s">
        <v>18</v>
      </c>
      <c r="N27" s="6">
        <v>55</v>
      </c>
      <c r="O27" s="6">
        <v>14.6666666666667</v>
      </c>
      <c r="P27" s="6">
        <f t="shared" ref="P27:P37" si="6">N27+O27</f>
        <v>69.6666666666667</v>
      </c>
      <c r="Q27" s="5" t="s">
        <v>19</v>
      </c>
      <c r="R27" s="6">
        <v>55.6666666666667</v>
      </c>
      <c r="S27" s="6">
        <v>0</v>
      </c>
      <c r="T27" s="6">
        <f t="shared" ref="T27:T37" si="7">R27+S27</f>
        <v>55.6666666666667</v>
      </c>
      <c r="U27" s="6">
        <f t="shared" ref="U27:U37" si="8">F27+H27+L27+P27+T27</f>
        <v>320.00000000000006</v>
      </c>
      <c r="V27" s="3" t="s">
        <v>24</v>
      </c>
      <c r="W27" s="3">
        <v>54</v>
      </c>
      <c r="X27" s="3">
        <v>15</v>
      </c>
      <c r="Y27" s="3">
        <f t="shared" ref="Y27" si="9">W27+X27</f>
        <v>69</v>
      </c>
      <c r="Z27" s="3" t="s">
        <v>20</v>
      </c>
      <c r="AA27" s="3">
        <v>0</v>
      </c>
      <c r="AB27" s="3">
        <v>0</v>
      </c>
      <c r="AC27" s="3">
        <f t="shared" ref="AC27:AC37" si="10">AA27+AB27</f>
        <v>0</v>
      </c>
      <c r="AD27" s="2" t="s">
        <v>30</v>
      </c>
    </row>
    <row r="28" spans="1:30" ht="34.200000000000003" x14ac:dyDescent="0.3">
      <c r="A28" s="3">
        <v>20</v>
      </c>
      <c r="B28" s="4"/>
      <c r="C28" s="8" t="s">
        <v>51</v>
      </c>
      <c r="D28" s="6" t="s">
        <v>23</v>
      </c>
      <c r="E28" s="5" t="s">
        <v>15</v>
      </c>
      <c r="F28" s="6">
        <v>38</v>
      </c>
      <c r="G28" s="5" t="s">
        <v>16</v>
      </c>
      <c r="H28" s="6">
        <v>79.1666666666667</v>
      </c>
      <c r="I28" s="5" t="s">
        <v>17</v>
      </c>
      <c r="J28" s="6">
        <v>62.8333333333333</v>
      </c>
      <c r="K28" s="6">
        <v>14.1666666666667</v>
      </c>
      <c r="L28" s="6">
        <f t="shared" si="5"/>
        <v>77</v>
      </c>
      <c r="M28" s="5" t="s">
        <v>18</v>
      </c>
      <c r="N28" s="6">
        <v>55.5</v>
      </c>
      <c r="O28" s="6">
        <v>14.1666666666667</v>
      </c>
      <c r="P28" s="6">
        <f t="shared" si="6"/>
        <v>69.6666666666667</v>
      </c>
      <c r="Q28" s="5" t="s">
        <v>19</v>
      </c>
      <c r="R28" s="6">
        <v>55.6666666666667</v>
      </c>
      <c r="S28" s="6">
        <v>0</v>
      </c>
      <c r="T28" s="6">
        <f t="shared" si="7"/>
        <v>55.6666666666667</v>
      </c>
      <c r="U28" s="6">
        <f t="shared" si="8"/>
        <v>319.50000000000006</v>
      </c>
      <c r="V28" s="6"/>
      <c r="W28" s="6"/>
      <c r="X28" s="6"/>
      <c r="Y28" s="6"/>
      <c r="Z28" s="3" t="s">
        <v>20</v>
      </c>
      <c r="AA28" s="3">
        <v>0</v>
      </c>
      <c r="AB28" s="3">
        <v>0</v>
      </c>
      <c r="AC28" s="3">
        <f t="shared" si="10"/>
        <v>0</v>
      </c>
      <c r="AD28" s="2" t="s">
        <v>30</v>
      </c>
    </row>
    <row r="29" spans="1:30" ht="34.200000000000003" x14ac:dyDescent="0.3">
      <c r="A29" s="3">
        <v>21</v>
      </c>
      <c r="B29" s="4"/>
      <c r="C29" s="8" t="s">
        <v>52</v>
      </c>
      <c r="D29" s="6" t="s">
        <v>22</v>
      </c>
      <c r="E29" s="5" t="s">
        <v>15</v>
      </c>
      <c r="F29" s="6">
        <v>30</v>
      </c>
      <c r="G29" s="5" t="s">
        <v>16</v>
      </c>
      <c r="H29" s="6">
        <v>85.6666666666667</v>
      </c>
      <c r="I29" s="5" t="s">
        <v>17</v>
      </c>
      <c r="J29" s="6">
        <v>64.3333333333333</v>
      </c>
      <c r="K29" s="6">
        <v>13.6666666666667</v>
      </c>
      <c r="L29" s="6">
        <f t="shared" si="5"/>
        <v>78</v>
      </c>
      <c r="M29" s="5" t="s">
        <v>18</v>
      </c>
      <c r="N29" s="6">
        <v>56</v>
      </c>
      <c r="O29" s="6">
        <v>13.6666666666667</v>
      </c>
      <c r="P29" s="6">
        <f t="shared" si="6"/>
        <v>69.6666666666667</v>
      </c>
      <c r="Q29" s="5" t="s">
        <v>19</v>
      </c>
      <c r="R29" s="6">
        <v>55.6666666666667</v>
      </c>
      <c r="S29" s="6">
        <v>0</v>
      </c>
      <c r="T29" s="6">
        <f t="shared" si="7"/>
        <v>55.6666666666667</v>
      </c>
      <c r="U29" s="6">
        <f t="shared" si="8"/>
        <v>319.00000000000006</v>
      </c>
      <c r="V29" s="6"/>
      <c r="W29" s="6"/>
      <c r="X29" s="6"/>
      <c r="Y29" s="6"/>
      <c r="Z29" s="3" t="s">
        <v>20</v>
      </c>
      <c r="AA29" s="3">
        <v>0</v>
      </c>
      <c r="AB29" s="3">
        <v>0</v>
      </c>
      <c r="AC29" s="3">
        <f t="shared" si="10"/>
        <v>0</v>
      </c>
      <c r="AD29" s="2" t="s">
        <v>30</v>
      </c>
    </row>
    <row r="30" spans="1:30" ht="34.200000000000003" x14ac:dyDescent="0.3">
      <c r="A30" s="3">
        <v>22</v>
      </c>
      <c r="B30" s="4"/>
      <c r="C30" s="8" t="s">
        <v>53</v>
      </c>
      <c r="D30" s="6" t="s">
        <v>22</v>
      </c>
      <c r="E30" s="5" t="s">
        <v>15</v>
      </c>
      <c r="F30" s="6">
        <v>22</v>
      </c>
      <c r="G30" s="5" t="s">
        <v>16</v>
      </c>
      <c r="H30" s="6">
        <v>92.1666666666667</v>
      </c>
      <c r="I30" s="5" t="s">
        <v>17</v>
      </c>
      <c r="J30" s="6">
        <v>65.8333333333333</v>
      </c>
      <c r="K30" s="6">
        <v>13.1666666666667</v>
      </c>
      <c r="L30" s="6">
        <f t="shared" si="5"/>
        <v>79</v>
      </c>
      <c r="M30" s="5" t="s">
        <v>18</v>
      </c>
      <c r="N30" s="6">
        <v>56.5</v>
      </c>
      <c r="O30" s="6">
        <v>13.1666666666667</v>
      </c>
      <c r="P30" s="6">
        <f t="shared" si="6"/>
        <v>69.6666666666667</v>
      </c>
      <c r="Q30" s="5" t="s">
        <v>19</v>
      </c>
      <c r="R30" s="6">
        <v>55.6666666666667</v>
      </c>
      <c r="S30" s="6">
        <v>0</v>
      </c>
      <c r="T30" s="6">
        <f t="shared" si="7"/>
        <v>55.6666666666667</v>
      </c>
      <c r="U30" s="6">
        <f t="shared" si="8"/>
        <v>318.50000000000006</v>
      </c>
      <c r="V30" s="3" t="s">
        <v>24</v>
      </c>
      <c r="W30" s="3">
        <v>54</v>
      </c>
      <c r="X30" s="3">
        <v>15</v>
      </c>
      <c r="Y30" s="3">
        <f t="shared" ref="Y30" si="11">W30+X30</f>
        <v>69</v>
      </c>
      <c r="Z30" s="3" t="s">
        <v>20</v>
      </c>
      <c r="AA30" s="3">
        <v>0</v>
      </c>
      <c r="AB30" s="3">
        <v>0</v>
      </c>
      <c r="AC30" s="3">
        <f t="shared" si="10"/>
        <v>0</v>
      </c>
      <c r="AD30" s="2" t="s">
        <v>30</v>
      </c>
    </row>
    <row r="31" spans="1:30" ht="34.200000000000003" x14ac:dyDescent="0.3">
      <c r="A31" s="3">
        <v>23</v>
      </c>
      <c r="B31" s="4"/>
      <c r="C31" s="8" t="s">
        <v>54</v>
      </c>
      <c r="D31" s="6" t="s">
        <v>22</v>
      </c>
      <c r="E31" s="5" t="s">
        <v>15</v>
      </c>
      <c r="F31" s="6">
        <v>14</v>
      </c>
      <c r="G31" s="5" t="s">
        <v>16</v>
      </c>
      <c r="H31" s="6">
        <v>98.6666666666667</v>
      </c>
      <c r="I31" s="5" t="s">
        <v>17</v>
      </c>
      <c r="J31" s="6">
        <v>67.3333333333333</v>
      </c>
      <c r="K31" s="6">
        <v>12.6666666666667</v>
      </c>
      <c r="L31" s="6">
        <f t="shared" si="5"/>
        <v>80</v>
      </c>
      <c r="M31" s="5" t="s">
        <v>18</v>
      </c>
      <c r="N31" s="6">
        <v>57</v>
      </c>
      <c r="O31" s="6">
        <v>12.6666666666667</v>
      </c>
      <c r="P31" s="6">
        <f t="shared" si="6"/>
        <v>69.6666666666667</v>
      </c>
      <c r="Q31" s="5" t="s">
        <v>19</v>
      </c>
      <c r="R31" s="6">
        <v>55.6666666666667</v>
      </c>
      <c r="S31" s="6">
        <v>0</v>
      </c>
      <c r="T31" s="6">
        <f t="shared" si="7"/>
        <v>55.6666666666667</v>
      </c>
      <c r="U31" s="6">
        <f t="shared" si="8"/>
        <v>318.00000000000006</v>
      </c>
      <c r="V31" s="6"/>
      <c r="W31" s="6"/>
      <c r="X31" s="6"/>
      <c r="Y31" s="6"/>
      <c r="Z31" s="3" t="s">
        <v>20</v>
      </c>
      <c r="AA31" s="3">
        <v>0</v>
      </c>
      <c r="AB31" s="3">
        <v>0</v>
      </c>
      <c r="AC31" s="3">
        <f t="shared" si="10"/>
        <v>0</v>
      </c>
      <c r="AD31" s="2" t="s">
        <v>30</v>
      </c>
    </row>
    <row r="32" spans="1:30" ht="34.200000000000003" x14ac:dyDescent="0.3">
      <c r="A32" s="9">
        <v>24</v>
      </c>
      <c r="B32" s="4"/>
      <c r="C32" s="8" t="s">
        <v>55</v>
      </c>
      <c r="D32" s="6" t="s">
        <v>22</v>
      </c>
      <c r="E32" s="5" t="s">
        <v>15</v>
      </c>
      <c r="F32" s="6">
        <v>88</v>
      </c>
      <c r="G32" s="5" t="s">
        <v>16</v>
      </c>
      <c r="H32" s="6">
        <v>80</v>
      </c>
      <c r="I32" s="5" t="s">
        <v>17</v>
      </c>
      <c r="J32" s="6">
        <v>65</v>
      </c>
      <c r="K32" s="6">
        <v>15</v>
      </c>
      <c r="L32" s="6">
        <f t="shared" si="5"/>
        <v>80</v>
      </c>
      <c r="M32" s="5" t="s">
        <v>18</v>
      </c>
      <c r="N32" s="6">
        <v>64</v>
      </c>
      <c r="O32" s="6">
        <v>15</v>
      </c>
      <c r="P32" s="6">
        <f t="shared" si="6"/>
        <v>79</v>
      </c>
      <c r="Q32" s="5" t="s">
        <v>19</v>
      </c>
      <c r="R32" s="6">
        <v>81</v>
      </c>
      <c r="S32" s="6">
        <v>0</v>
      </c>
      <c r="T32" s="6">
        <f t="shared" si="7"/>
        <v>81</v>
      </c>
      <c r="U32" s="6">
        <f t="shared" si="8"/>
        <v>408</v>
      </c>
      <c r="V32" s="6"/>
      <c r="W32" s="6"/>
      <c r="X32" s="6"/>
      <c r="Y32" s="6"/>
      <c r="Z32" s="9" t="s">
        <v>20</v>
      </c>
      <c r="AA32" s="9">
        <v>0</v>
      </c>
      <c r="AB32" s="9">
        <v>0</v>
      </c>
      <c r="AC32" s="9">
        <f t="shared" si="10"/>
        <v>0</v>
      </c>
      <c r="AD32" s="2" t="s">
        <v>30</v>
      </c>
    </row>
    <row r="33" spans="1:30" ht="34.200000000000003" x14ac:dyDescent="0.3">
      <c r="A33" s="9">
        <v>25</v>
      </c>
      <c r="B33" s="4"/>
      <c r="C33" s="8" t="s">
        <v>56</v>
      </c>
      <c r="D33" s="6" t="s">
        <v>23</v>
      </c>
      <c r="E33" s="5" t="s">
        <v>15</v>
      </c>
      <c r="F33" s="6">
        <v>58</v>
      </c>
      <c r="G33" s="5" t="s">
        <v>16</v>
      </c>
      <c r="H33" s="6">
        <v>59</v>
      </c>
      <c r="I33" s="5" t="s">
        <v>17</v>
      </c>
      <c r="J33" s="6">
        <v>57</v>
      </c>
      <c r="K33" s="6">
        <v>16</v>
      </c>
      <c r="L33" s="6">
        <f t="shared" si="5"/>
        <v>73</v>
      </c>
      <c r="M33" s="5" t="s">
        <v>18</v>
      </c>
      <c r="N33" s="6">
        <v>51</v>
      </c>
      <c r="O33" s="6">
        <v>20</v>
      </c>
      <c r="P33" s="6">
        <f t="shared" si="6"/>
        <v>71</v>
      </c>
      <c r="Q33" s="5" t="s">
        <v>19</v>
      </c>
      <c r="R33" s="6">
        <v>55</v>
      </c>
      <c r="S33" s="6">
        <v>0</v>
      </c>
      <c r="T33" s="6">
        <f t="shared" si="7"/>
        <v>55</v>
      </c>
      <c r="U33" s="6">
        <f t="shared" si="8"/>
        <v>316</v>
      </c>
      <c r="V33" s="6"/>
      <c r="W33" s="6"/>
      <c r="X33" s="6"/>
      <c r="Y33" s="6"/>
      <c r="Z33" s="9" t="s">
        <v>20</v>
      </c>
      <c r="AA33" s="9">
        <v>0</v>
      </c>
      <c r="AB33" s="9">
        <v>0</v>
      </c>
      <c r="AC33" s="9">
        <f t="shared" si="10"/>
        <v>0</v>
      </c>
      <c r="AD33" s="2" t="s">
        <v>30</v>
      </c>
    </row>
    <row r="34" spans="1:30" ht="34.200000000000003" x14ac:dyDescent="0.3">
      <c r="A34" s="9">
        <v>26</v>
      </c>
      <c r="B34" s="4"/>
      <c r="C34" s="8" t="s">
        <v>57</v>
      </c>
      <c r="D34" s="6" t="s">
        <v>23</v>
      </c>
      <c r="E34" s="5" t="s">
        <v>15</v>
      </c>
      <c r="F34" s="6">
        <v>61</v>
      </c>
      <c r="G34" s="5" t="s">
        <v>16</v>
      </c>
      <c r="H34" s="6">
        <v>54</v>
      </c>
      <c r="I34" s="5" t="s">
        <v>17</v>
      </c>
      <c r="J34" s="6">
        <v>54</v>
      </c>
      <c r="K34" s="6">
        <v>15</v>
      </c>
      <c r="L34" s="6">
        <f t="shared" si="5"/>
        <v>69</v>
      </c>
      <c r="M34" s="5" t="s">
        <v>18</v>
      </c>
      <c r="N34" s="6">
        <v>56</v>
      </c>
      <c r="O34" s="6">
        <v>15</v>
      </c>
      <c r="P34" s="6">
        <f t="shared" si="6"/>
        <v>71</v>
      </c>
      <c r="Q34" s="5" t="s">
        <v>19</v>
      </c>
      <c r="R34" s="6">
        <v>58</v>
      </c>
      <c r="S34" s="6">
        <v>0</v>
      </c>
      <c r="T34" s="6">
        <f t="shared" si="7"/>
        <v>58</v>
      </c>
      <c r="U34" s="6">
        <f t="shared" si="8"/>
        <v>313</v>
      </c>
      <c r="V34" s="9" t="s">
        <v>24</v>
      </c>
      <c r="W34" s="9">
        <v>50</v>
      </c>
      <c r="X34" s="9">
        <v>14</v>
      </c>
      <c r="Y34" s="9">
        <f>W34+X34</f>
        <v>64</v>
      </c>
      <c r="Z34" s="9" t="s">
        <v>20</v>
      </c>
      <c r="AA34" s="9">
        <v>0</v>
      </c>
      <c r="AB34" s="9">
        <v>0</v>
      </c>
      <c r="AC34" s="9">
        <f t="shared" si="10"/>
        <v>0</v>
      </c>
      <c r="AD34" s="2" t="s">
        <v>30</v>
      </c>
    </row>
    <row r="35" spans="1:30" ht="34.200000000000003" x14ac:dyDescent="0.3">
      <c r="A35" s="9">
        <v>27</v>
      </c>
      <c r="B35" s="4"/>
      <c r="C35" s="8" t="s">
        <v>58</v>
      </c>
      <c r="D35" s="6" t="s">
        <v>23</v>
      </c>
      <c r="E35" s="5" t="s">
        <v>15</v>
      </c>
      <c r="F35" s="6">
        <v>59</v>
      </c>
      <c r="G35" s="5" t="s">
        <v>16</v>
      </c>
      <c r="H35" s="6">
        <v>50</v>
      </c>
      <c r="I35" s="5" t="s">
        <v>17</v>
      </c>
      <c r="J35" s="6">
        <v>53</v>
      </c>
      <c r="K35" s="6">
        <v>15</v>
      </c>
      <c r="L35" s="6">
        <f t="shared" si="5"/>
        <v>68</v>
      </c>
      <c r="M35" s="5" t="s">
        <v>18</v>
      </c>
      <c r="N35" s="6">
        <v>55</v>
      </c>
      <c r="O35" s="6">
        <v>15</v>
      </c>
      <c r="P35" s="6">
        <f t="shared" si="6"/>
        <v>70</v>
      </c>
      <c r="Q35" s="5" t="s">
        <v>24</v>
      </c>
      <c r="R35" s="6">
        <v>50</v>
      </c>
      <c r="S35" s="6">
        <v>0</v>
      </c>
      <c r="T35" s="6">
        <f t="shared" si="7"/>
        <v>50</v>
      </c>
      <c r="U35" s="6">
        <f t="shared" si="8"/>
        <v>297</v>
      </c>
      <c r="V35" s="6" t="s">
        <v>19</v>
      </c>
      <c r="W35" s="9">
        <v>55</v>
      </c>
      <c r="X35" s="9">
        <v>0</v>
      </c>
      <c r="Y35" s="9">
        <f>W35+X35</f>
        <v>55</v>
      </c>
      <c r="Z35" s="9" t="s">
        <v>20</v>
      </c>
      <c r="AA35" s="9">
        <v>0</v>
      </c>
      <c r="AB35" s="9">
        <v>0</v>
      </c>
      <c r="AC35" s="9">
        <f t="shared" si="10"/>
        <v>0</v>
      </c>
      <c r="AD35" s="2" t="s">
        <v>30</v>
      </c>
    </row>
    <row r="36" spans="1:30" ht="34.200000000000003" x14ac:dyDescent="0.3">
      <c r="A36" s="9">
        <v>28</v>
      </c>
      <c r="B36" s="4"/>
      <c r="C36" s="8" t="s">
        <v>59</v>
      </c>
      <c r="D36" s="6" t="s">
        <v>23</v>
      </c>
      <c r="E36" s="5" t="s">
        <v>15</v>
      </c>
      <c r="F36" s="6">
        <v>61</v>
      </c>
      <c r="G36" s="5" t="s">
        <v>16</v>
      </c>
      <c r="H36" s="6">
        <v>61</v>
      </c>
      <c r="I36" s="5" t="s">
        <v>17</v>
      </c>
      <c r="J36" s="6">
        <v>55</v>
      </c>
      <c r="K36" s="6">
        <v>20</v>
      </c>
      <c r="L36" s="6">
        <f t="shared" si="5"/>
        <v>75</v>
      </c>
      <c r="M36" s="5" t="s">
        <v>18</v>
      </c>
      <c r="N36" s="6">
        <v>51</v>
      </c>
      <c r="O36" s="6">
        <v>20</v>
      </c>
      <c r="P36" s="6">
        <f t="shared" si="6"/>
        <v>71</v>
      </c>
      <c r="Q36" s="5" t="s">
        <v>19</v>
      </c>
      <c r="R36" s="6">
        <v>49</v>
      </c>
      <c r="S36" s="6">
        <v>0</v>
      </c>
      <c r="T36" s="6">
        <f t="shared" si="7"/>
        <v>49</v>
      </c>
      <c r="U36" s="6">
        <f t="shared" si="8"/>
        <v>317</v>
      </c>
      <c r="V36" s="6"/>
      <c r="W36" s="6"/>
      <c r="X36" s="6"/>
      <c r="Y36" s="6"/>
      <c r="Z36" s="9" t="s">
        <v>20</v>
      </c>
      <c r="AA36" s="9">
        <v>0</v>
      </c>
      <c r="AB36" s="9">
        <v>0</v>
      </c>
      <c r="AC36" s="9">
        <f t="shared" si="10"/>
        <v>0</v>
      </c>
      <c r="AD36" s="2" t="s">
        <v>30</v>
      </c>
    </row>
    <row r="37" spans="1:30" ht="34.200000000000003" x14ac:dyDescent="0.3">
      <c r="A37" s="9">
        <v>29</v>
      </c>
      <c r="B37" s="4"/>
      <c r="C37" s="8" t="s">
        <v>60</v>
      </c>
      <c r="D37" s="6" t="s">
        <v>23</v>
      </c>
      <c r="E37" s="5" t="s">
        <v>15</v>
      </c>
      <c r="F37" s="6">
        <v>52</v>
      </c>
      <c r="G37" s="5" t="s">
        <v>16</v>
      </c>
      <c r="H37" s="6">
        <v>58</v>
      </c>
      <c r="I37" s="5" t="s">
        <v>17</v>
      </c>
      <c r="J37" s="6">
        <v>58</v>
      </c>
      <c r="K37" s="6">
        <v>15</v>
      </c>
      <c r="L37" s="6">
        <f t="shared" si="5"/>
        <v>73</v>
      </c>
      <c r="M37" s="5" t="s">
        <v>18</v>
      </c>
      <c r="N37" s="6">
        <v>50</v>
      </c>
      <c r="O37" s="6">
        <v>20</v>
      </c>
      <c r="P37" s="6">
        <f t="shared" si="6"/>
        <v>70</v>
      </c>
      <c r="Q37" s="5" t="s">
        <v>19</v>
      </c>
      <c r="R37" s="6">
        <v>58</v>
      </c>
      <c r="S37" s="6">
        <v>0</v>
      </c>
      <c r="T37" s="6">
        <f t="shared" si="7"/>
        <v>58</v>
      </c>
      <c r="U37" s="6">
        <f t="shared" si="8"/>
        <v>311</v>
      </c>
      <c r="V37" s="9" t="s">
        <v>24</v>
      </c>
      <c r="W37" s="9">
        <v>58</v>
      </c>
      <c r="X37" s="9">
        <v>19</v>
      </c>
      <c r="Y37" s="9">
        <f>W37+X37</f>
        <v>77</v>
      </c>
      <c r="Z37" s="9" t="s">
        <v>20</v>
      </c>
      <c r="AA37" s="9">
        <v>0</v>
      </c>
      <c r="AB37" s="9">
        <v>0</v>
      </c>
      <c r="AC37" s="9">
        <f t="shared" si="10"/>
        <v>0</v>
      </c>
      <c r="AD37" s="2" t="s">
        <v>30</v>
      </c>
    </row>
    <row r="43" spans="1:30" x14ac:dyDescent="0.3">
      <c r="T43" s="16" t="s">
        <v>31</v>
      </c>
      <c r="U43" s="16"/>
      <c r="V43" s="16"/>
      <c r="W43" s="16"/>
      <c r="X43" s="16"/>
      <c r="Y43" s="16"/>
      <c r="Z43" s="16"/>
      <c r="AA43" s="16"/>
      <c r="AB43" s="16"/>
    </row>
    <row r="44" spans="1:30" x14ac:dyDescent="0.3">
      <c r="T44" s="16"/>
      <c r="U44" s="16"/>
      <c r="V44" s="16"/>
      <c r="W44" s="16"/>
      <c r="X44" s="16"/>
      <c r="Y44" s="16"/>
      <c r="Z44" s="16"/>
      <c r="AA44" s="16"/>
      <c r="AB44" s="16"/>
    </row>
  </sheetData>
  <mergeCells count="17">
    <mergeCell ref="T43:AB44"/>
    <mergeCell ref="A8:AD8"/>
    <mergeCell ref="AD4:AD6"/>
    <mergeCell ref="A1:AD3"/>
    <mergeCell ref="U4:U6"/>
    <mergeCell ref="Z5:AC5"/>
    <mergeCell ref="Z4:AC4"/>
    <mergeCell ref="A4:A6"/>
    <mergeCell ref="B4:B6"/>
    <mergeCell ref="C4:C6"/>
    <mergeCell ref="D4:D6"/>
    <mergeCell ref="E4:H4"/>
    <mergeCell ref="E5:H5"/>
    <mergeCell ref="I4:T4"/>
    <mergeCell ref="I5:T5"/>
    <mergeCell ref="V4:Y4"/>
    <mergeCell ref="V5:Y5"/>
  </mergeCells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SCIENCE</vt:lpstr>
      <vt:lpstr>SCIENCE!Print_Titles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2026-10-27T14:27:30Z</dcterms:modified>
</cp:coreProperties>
</file>